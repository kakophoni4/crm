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name="Sheet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_-* #,##0.00\ _₽_-;\-* #,##0.00\ _₽_-;_-* &quot;-&quot;??\ _₽_-;_-@"/>
    <numFmt numFmtId="166" formatCode="_-* #,##0.00\ _₽_-;\-* #,##0.00\ _₽_-;_-* &quot;-&quot;??\ _₽_-;_-@_-"/>
  </numFmts>
  <fonts count="20">
    <font>
      <name val="Arial"/>
      <family val="2"/>
      <color rgb="FF000000"/>
      <sz val="10"/>
    </font>
    <font>
      <name val="Calibri"/>
      <charset val="204"/>
      <family val="2"/>
      <sz val="11"/>
    </font>
    <font>
      <name val="Verdana"/>
      <charset val="204"/>
      <family val="2"/>
      <b val="1"/>
      <sz val="12"/>
    </font>
    <font>
      <name val="Verdana"/>
      <charset val="204"/>
      <family val="2"/>
      <sz val="10"/>
    </font>
    <font>
      <name val="Verdana"/>
      <charset val="204"/>
      <family val="2"/>
      <b val="1"/>
      <i val="1"/>
      <color indexed="8"/>
      <sz val="11"/>
    </font>
    <font>
      <name val="Verdana"/>
      <charset val="204"/>
      <family val="2"/>
      <b val="1"/>
      <i val="1"/>
      <color indexed="10"/>
      <sz val="11"/>
    </font>
    <font>
      <name val="Verdana"/>
      <family val="2"/>
      <b val="1"/>
      <i val="1"/>
      <color indexed="10"/>
      <sz val="11"/>
    </font>
    <font>
      <name val="Arial"/>
      <charset val="204"/>
      <family val="2"/>
      <sz val="12"/>
    </font>
    <font>
      <name val="Verdana"/>
      <charset val="204"/>
      <family val="2"/>
      <b val="1"/>
      <i val="1"/>
      <color indexed="8"/>
      <sz val="12"/>
    </font>
    <font>
      <name val="Verdana"/>
      <family val="2"/>
      <b val="1"/>
      <i val="1"/>
      <color indexed="10"/>
      <sz val="12"/>
    </font>
    <font>
      <name val="Verdana"/>
      <charset val="204"/>
      <family val="2"/>
      <b val="1"/>
      <i val="1"/>
      <color indexed="10"/>
      <sz val="12"/>
    </font>
    <font>
      <name val="Verdana"/>
      <charset val="204"/>
      <family val="2"/>
      <b val="1"/>
      <color rgb="FF000000"/>
      <sz val="12"/>
    </font>
    <font>
      <name val="Verdana"/>
      <charset val="204"/>
      <family val="2"/>
      <b val="1"/>
      <i val="1"/>
      <color rgb="FF000000"/>
      <sz val="12"/>
    </font>
    <font>
      <name val="Verdana"/>
      <charset val="204"/>
      <family val="2"/>
      <color rgb="FF000000"/>
      <sz val="12"/>
    </font>
    <font>
      <name val="Arial"/>
      <charset val="204"/>
      <family val="2"/>
      <color rgb="FF000000"/>
      <sz val="12"/>
    </font>
    <font>
      <name val="Arial"/>
      <charset val="204"/>
      <family val="2"/>
      <b val="1"/>
      <color rgb="FF000000"/>
      <sz val="16"/>
    </font>
    <font>
      <name val="Verdana"/>
      <charset val="204"/>
      <family val="2"/>
      <b val="1"/>
      <i val="1"/>
      <color rgb="FF000000"/>
      <sz val="11"/>
    </font>
    <font>
      <name val="Arial"/>
      <family val="2"/>
      <b val="1"/>
      <color rgb="FF000000"/>
      <sz val="14"/>
    </font>
    <font>
      <name val="Arial"/>
      <family val="2"/>
      <b val="1"/>
      <i val="1"/>
      <color rgb="FF000000"/>
      <sz val="12"/>
    </font>
    <font>
      <name val="Nunito"/>
      <color rgb="FF323232"/>
      <sz val="10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rgb="FFF4F3E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theme="6" tint="0.3999450666829432"/>
      </left>
      <right style="thin">
        <color theme="6" tint="0.3999450666829432"/>
      </right>
      <top style="thin">
        <color theme="6" tint="0.3999450666829432"/>
      </top>
      <bottom style="thin">
        <color theme="6" tint="0.3999450666829432"/>
      </bottom>
      <diagonal/>
    </border>
    <border>
      <left style="thick">
        <color theme="5" tint="0.3999450666829432"/>
      </left>
      <right style="thin">
        <color theme="6" tint="0.3999450666829432"/>
      </right>
      <top style="thin">
        <color theme="6" tint="0.3999450666829432"/>
      </top>
      <bottom style="thin">
        <color theme="6" tint="0.3999450666829432"/>
      </bottom>
      <diagonal/>
    </border>
    <border>
      <left style="thin">
        <color theme="6" tint="-0.249946592608417"/>
      </left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thick">
        <color theme="5" tint="0.3999450666829432"/>
      </left>
      <right style="thin">
        <color theme="6" tint="0.3999450666829432"/>
      </right>
      <top style="thin">
        <color theme="6" tint="0.3999450666829432"/>
      </top>
      <bottom style="thick">
        <color theme="5" tint="0.3999450666829432"/>
      </bottom>
      <diagonal/>
    </border>
    <border>
      <left style="thin">
        <color theme="6" tint="0.3999450666829432"/>
      </left>
      <right style="thin">
        <color theme="6" tint="0.3999450666829432"/>
      </right>
      <top style="thin">
        <color theme="6" tint="0.3999450666829432"/>
      </top>
      <bottom style="thick">
        <color theme="5" tint="0.3999450666829432"/>
      </bottom>
      <diagonal/>
    </border>
    <border>
      <left style="thick">
        <color theme="5" tint="0.3999450666829432"/>
      </left>
      <right style="thin">
        <color theme="6" tint="0.3999450666829432"/>
      </right>
      <top style="thick">
        <color theme="5" tint="0.3999450666829432"/>
      </top>
      <bottom style="thin">
        <color theme="6" tint="0.3999450666829432"/>
      </bottom>
      <diagonal/>
    </border>
    <border>
      <left style="thin">
        <color theme="6" tint="0.3999450666829432"/>
      </left>
      <right style="thin">
        <color theme="6" tint="0.3999450666829432"/>
      </right>
      <top style="thick">
        <color theme="5" tint="0.3999450666829432"/>
      </top>
      <bottom style="thin">
        <color theme="6" tint="0.3999450666829432"/>
      </bottom>
      <diagonal/>
    </border>
    <border>
      <left style="thin">
        <color theme="6" tint="0.3999450666829432"/>
      </left>
      <right style="thick">
        <color theme="5" tint="0.3999450666829432"/>
      </right>
      <top style="thick">
        <color theme="5" tint="0.3999450666829432"/>
      </top>
      <bottom style="thin">
        <color theme="6" tint="0.39994506668294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249946592608417"/>
      </left>
      <right/>
      <top style="thin">
        <color theme="6" tint="-0.249946592608417"/>
      </top>
      <bottom style="thin">
        <color theme="6" tint="-0.249946592608417"/>
      </bottom>
      <diagonal/>
    </border>
    <border>
      <left style="thin">
        <color theme="6" tint="0.3999450666829432"/>
      </left>
      <right/>
      <top style="thin">
        <color theme="6" tint="0.3999450666829432"/>
      </top>
      <bottom style="thin">
        <color theme="6" tint="0.3999450666829432"/>
      </bottom>
      <diagonal/>
    </border>
    <border>
      <left style="thin">
        <color theme="6" tint="0.3999450666829432"/>
      </left>
      <right/>
      <top style="thin">
        <color theme="6" tint="0.3999450666829432"/>
      </top>
      <bottom style="thick">
        <color theme="5" tint="0.3999450666829432"/>
      </bottom>
      <diagonal/>
    </border>
    <border>
      <left/>
      <right/>
      <top style="thin">
        <color theme="6" tint="-0.249946592608417"/>
      </top>
      <bottom/>
      <diagonal/>
    </border>
    <border>
      <left/>
      <right style="thin">
        <color theme="6" tint="-0.249946592608417"/>
      </right>
      <top style="thin">
        <color theme="6" tint="-0.249946592608417"/>
      </top>
      <bottom/>
      <diagonal/>
    </border>
    <border>
      <left/>
      <right/>
      <top style="thin">
        <color theme="6" tint="-0.249946592608417"/>
      </top>
      <bottom style="thin">
        <color theme="6" tint="-0.249946592608417"/>
      </bottom>
      <diagonal/>
    </border>
    <border>
      <left/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/>
      <right/>
      <top style="thin">
        <color theme="6" tint="0.3999450666829432"/>
      </top>
      <bottom/>
      <diagonal/>
    </border>
    <border>
      <left/>
      <right style="thin">
        <color theme="6" tint="0.3999450666829432"/>
      </right>
      <top style="thin">
        <color theme="6" tint="0.3999450666829432"/>
      </top>
      <bottom/>
      <diagonal/>
    </border>
    <border>
      <left/>
      <right/>
      <top style="thin">
        <color theme="6" tint="0.3999450666829432"/>
      </top>
      <bottom style="thick">
        <color theme="5" tint="0.3999450666829432"/>
      </bottom>
      <diagonal/>
    </border>
    <border>
      <left/>
      <right style="thin">
        <color theme="6" tint="0.3999450666829432"/>
      </right>
      <top style="thin">
        <color theme="6" tint="0.3999450666829432"/>
      </top>
      <bottom style="thick">
        <color theme="5" tint="0.3999450666829432"/>
      </bottom>
      <diagonal/>
    </border>
    <border>
      <left/>
      <right/>
      <top style="thick">
        <color theme="5" tint="0.3999450666829432"/>
      </top>
      <bottom/>
      <diagonal/>
    </border>
    <border>
      <left/>
      <right style="thin">
        <color theme="6" tint="0.3999450666829432"/>
      </right>
      <top style="thick">
        <color theme="5" tint="0.3999450666829432"/>
      </top>
      <bottom/>
      <diagonal/>
    </border>
    <border>
      <left/>
      <right/>
      <top style="thick">
        <color theme="5" tint="0.3999450666829432"/>
      </top>
      <bottom style="thin">
        <color theme="6" tint="0.3999450666829432"/>
      </bottom>
      <diagonal/>
    </border>
    <border>
      <left/>
      <right style="thin">
        <color theme="6" tint="0.3999450666829432"/>
      </right>
      <top style="thick">
        <color theme="5" tint="0.3999450666829432"/>
      </top>
      <bottom style="thin">
        <color theme="6" tint="0.3999450666829432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0" fontId="11" fillId="2" borderId="0" applyAlignment="1" pivotButton="0" quotePrefix="0" xfId="0">
      <alignment horizontal="right"/>
    </xf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11" fillId="2" borderId="1" applyAlignment="1" pivotButton="0" quotePrefix="0" xfId="0">
      <alignment horizontal="right"/>
    </xf>
    <xf numFmtId="0" fontId="11" fillId="0" borderId="1" applyAlignment="1" pivotButton="0" quotePrefix="0" xfId="0">
      <alignment wrapText="1"/>
    </xf>
    <xf numFmtId="0" fontId="12" fillId="4" borderId="1" applyAlignment="1" pivotButton="0" quotePrefix="0" xfId="0">
      <alignment horizontal="center" wrapText="1"/>
    </xf>
    <xf numFmtId="164" fontId="12" fillId="4" borderId="1" applyAlignment="1" pivotButton="0" quotePrefix="0" xfId="0">
      <alignment horizontal="center" wrapText="1"/>
    </xf>
    <xf numFmtId="49" fontId="7" fillId="0" borderId="1" applyAlignment="1" pivotButton="0" quotePrefix="0" xfId="0">
      <alignment horizontal="right"/>
    </xf>
    <xf numFmtId="14" fontId="13" fillId="0" borderId="1" applyAlignment="1" pivotButton="0" quotePrefix="0" xfId="0">
      <alignment horizontal="right"/>
    </xf>
    <xf numFmtId="49" fontId="13" fillId="0" borderId="1" applyAlignment="1" pivotButton="0" quotePrefix="0" xfId="0">
      <alignment horizontal="right"/>
    </xf>
    <xf numFmtId="0" fontId="11" fillId="0" borderId="2" pivotButton="0" quotePrefix="0" xfId="0"/>
    <xf numFmtId="0" fontId="12" fillId="4" borderId="2" applyAlignment="1" pivotButton="0" quotePrefix="0" xfId="0">
      <alignment horizontal="center" wrapText="1"/>
    </xf>
    <xf numFmtId="49" fontId="7" fillId="0" borderId="2" applyAlignment="1" pivotButton="0" quotePrefix="0" xfId="0">
      <alignment horizontal="right"/>
    </xf>
    <xf numFmtId="0" fontId="15" fillId="3" borderId="0" pivotButton="0" quotePrefix="0" xfId="0"/>
    <xf numFmtId="0" fontId="11" fillId="3" borderId="0" pivotButton="0" quotePrefix="0" xfId="0"/>
    <xf numFmtId="4" fontId="15" fillId="3" borderId="0" applyAlignment="1" pivotButton="0" quotePrefix="0" xfId="0">
      <alignment wrapText="1"/>
    </xf>
    <xf numFmtId="0" fontId="2" fillId="3" borderId="0" pivotButton="0" quotePrefix="0" xfId="0"/>
    <xf numFmtId="0" fontId="1" fillId="3" borderId="0" pivotButton="0" quotePrefix="0" xfId="0"/>
    <xf numFmtId="0" fontId="11" fillId="3" borderId="0" applyAlignment="1" pivotButton="0" quotePrefix="0" xfId="0">
      <alignment wrapText="1"/>
    </xf>
    <xf numFmtId="0" fontId="16" fillId="4" borderId="3" applyAlignment="1" pivotButton="0" quotePrefix="0" xfId="0">
      <alignment horizontal="center" wrapText="1"/>
    </xf>
    <xf numFmtId="164" fontId="16" fillId="4" borderId="3" applyAlignment="1" pivotButton="0" quotePrefix="0" xfId="0">
      <alignment horizontal="center" wrapText="1"/>
    </xf>
    <xf numFmtId="49" fontId="13" fillId="0" borderId="3" applyAlignment="1" pivotButton="0" quotePrefix="0" xfId="0">
      <alignment horizontal="right"/>
    </xf>
    <xf numFmtId="0" fontId="13" fillId="0" borderId="3" applyAlignment="1" pivotButton="0" quotePrefix="0" xfId="0">
      <alignment horizontal="right"/>
    </xf>
    <xf numFmtId="49" fontId="7" fillId="0" borderId="3" applyAlignment="1" pivotButton="0" quotePrefix="0" xfId="0">
      <alignment horizontal="right"/>
    </xf>
    <xf numFmtId="14" fontId="13" fillId="0" borderId="3" applyAlignment="1" pivotButton="0" quotePrefix="0" xfId="0">
      <alignment horizontal="right"/>
    </xf>
    <xf numFmtId="0" fontId="19" fillId="0" borderId="0" pivotButton="0" quotePrefix="0" xfId="0"/>
    <xf numFmtId="4" fontId="16" fillId="4" borderId="10" applyAlignment="1" pivotButton="0" quotePrefix="0" xfId="0">
      <alignment horizontal="center" wrapText="1"/>
    </xf>
    <xf numFmtId="165" fontId="13" fillId="0" borderId="10" applyAlignment="1" pivotButton="0" quotePrefix="0" xfId="0">
      <alignment horizontal="right"/>
    </xf>
    <xf numFmtId="165" fontId="14" fillId="5" borderId="10" pivotButton="0" quotePrefix="0" xfId="0"/>
    <xf numFmtId="0" fontId="2" fillId="0" borderId="11" pivotButton="0" quotePrefix="0" xfId="0"/>
    <xf numFmtId="4" fontId="12" fillId="4" borderId="11" applyAlignment="1" pivotButton="0" quotePrefix="0" xfId="0">
      <alignment horizontal="center" wrapText="1"/>
    </xf>
    <xf numFmtId="165" fontId="13" fillId="0" borderId="11" applyAlignment="1" pivotButton="0" quotePrefix="0" xfId="0">
      <alignment horizontal="right"/>
    </xf>
    <xf numFmtId="165" fontId="14" fillId="5" borderId="12" pivotButton="0" quotePrefix="0" xfId="0"/>
    <xf numFmtId="0" fontId="0" fillId="3" borderId="9" pivotButton="0" quotePrefix="0" xfId="0"/>
    <xf numFmtId="0" fontId="3" fillId="3" borderId="9" pivotButton="0" quotePrefix="0" xfId="0"/>
    <xf numFmtId="0" fontId="0" fillId="0" borderId="9" pivotButton="0" quotePrefix="0" xfId="0"/>
    <xf numFmtId="166" fontId="0" fillId="3" borderId="9" pivotButton="0" quotePrefix="0" xfId="0"/>
    <xf numFmtId="166" fontId="0" fillId="7" borderId="9" pivotButton="0" quotePrefix="0" xfId="0"/>
    <xf numFmtId="166" fontId="0" fillId="8" borderId="9" pivotButton="0" quotePrefix="0" xfId="0"/>
    <xf numFmtId="0" fontId="17" fillId="5" borderId="3" applyAlignment="1" pivotButton="0" quotePrefix="0" xfId="0">
      <alignment horizontal="right"/>
    </xf>
    <xf numFmtId="0" fontId="14" fillId="5" borderId="4" applyAlignment="1" pivotButton="0" quotePrefix="0" xfId="0">
      <alignment horizontal="right"/>
    </xf>
    <xf numFmtId="0" fontId="14" fillId="5" borderId="5" applyAlignment="1" pivotButton="0" quotePrefix="0" xfId="0">
      <alignment horizontal="right"/>
    </xf>
    <xf numFmtId="49" fontId="18" fillId="6" borderId="6" applyAlignment="1" pivotButton="0" quotePrefix="0" xfId="0">
      <alignment horizontal="center"/>
    </xf>
    <xf numFmtId="49" fontId="18" fillId="6" borderId="7" applyAlignment="1" pivotButton="0" quotePrefix="0" xfId="0">
      <alignment horizontal="center"/>
    </xf>
    <xf numFmtId="49" fontId="18" fillId="6" borderId="8" applyAlignment="1" pivotButton="0" quotePrefix="0" xfId="0">
      <alignment horizontal="center"/>
    </xf>
    <xf numFmtId="0" fontId="3" fillId="7" borderId="9" pivotButton="0" quotePrefix="0" xfId="0"/>
    <xf numFmtId="166" fontId="0" fillId="3" borderId="9" pivotButton="0" quotePrefix="0" xfId="0"/>
    <xf numFmtId="166" fontId="0" fillId="7" borderId="9" pivotButton="0" quotePrefix="0" xfId="0"/>
    <xf numFmtId="166" fontId="0" fillId="8" borderId="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4"/>
  <sheetViews>
    <sheetView tabSelected="1" zoomScale="80" zoomScaleNormal="80" workbookViewId="0">
      <selection activeCell="G15" sqref="G15"/>
    </sheetView>
  </sheetViews>
  <sheetFormatPr baseColWidth="8" defaultColWidth="14.42578125" defaultRowHeight="15" customHeight="1"/>
  <cols>
    <col width="14.42578125" customWidth="1" style="6" min="1" max="1"/>
    <col width="49" customWidth="1" style="6" min="2" max="3"/>
    <col width="18.85546875" customWidth="1" style="6" min="4" max="4"/>
    <col width="27" customWidth="1" style="6" min="5" max="5"/>
    <col width="17.28515625" customWidth="1" style="45" min="6" max="6"/>
    <col width="14.42578125" customWidth="1" style="45" min="7" max="9"/>
  </cols>
  <sheetData>
    <row r="1" ht="15.75" customHeight="1" s="6">
      <c r="B1" s="23" t="n"/>
      <c r="C1" s="1" t="n"/>
      <c r="D1" s="27" t="n"/>
      <c r="E1" s="25" t="n"/>
      <c r="F1" s="43" t="n"/>
      <c r="G1" s="43" t="n"/>
      <c r="H1" s="43" t="n"/>
      <c r="I1" s="43" t="n"/>
    </row>
    <row r="2" ht="15.75" customHeight="1" s="6">
      <c r="B2" s="24" t="inlineStr">
        <is>
          <t>Заявка</t>
        </is>
      </c>
      <c r="C2" s="5" t="inlineStr">
        <is>
          <t>Ставка НДС:</t>
        </is>
      </c>
      <c r="D2" s="28" t="n">
        <v>20</v>
      </c>
      <c r="E2" s="26" t="inlineStr">
        <is>
          <t>%</t>
        </is>
      </c>
      <c r="F2" s="44" t="n">
        <v>3.1</v>
      </c>
      <c r="G2" s="44" t="n"/>
      <c r="H2" s="44" t="n"/>
      <c r="I2" s="4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86.25" customHeight="1" s="6">
      <c r="A3" s="12" t="n"/>
      <c r="B3" s="29" t="inlineStr">
        <is>
          <t>ИНН Компании-продавца
(Наши компании)</t>
        </is>
      </c>
      <c r="C3" s="29" t="inlineStr">
        <is>
          <t>ИНН Компании-покупатели
(Ваши компании)</t>
        </is>
      </c>
      <c r="D3" s="30" t="inlineStr">
        <is>
          <t>Дата с/ф
(дд. мм. гггг)</t>
        </is>
      </c>
      <c r="E3" s="36" t="inlineStr">
        <is>
          <t>Сумма покупок
(НДС в том числе)</t>
        </is>
      </c>
      <c r="F3" s="44" t="n">
        <v>3.1</v>
      </c>
      <c r="G3" s="44" t="inlineStr">
        <is>
          <t>БН</t>
        </is>
      </c>
      <c r="H3" s="44" t="n">
        <v>4.8</v>
      </c>
      <c r="I3" s="55" t="n">
        <v>5.4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5.75" customHeight="1" s="6">
      <c r="A4" s="12" t="n"/>
      <c r="B4" s="35" t="n">
        <v>7703822568</v>
      </c>
      <c r="C4" s="31" t="n">
        <v>5507266215</v>
      </c>
      <c r="D4" s="34" t="n">
        <v>45679</v>
      </c>
      <c r="E4" s="37" t="n">
        <v>314752</v>
      </c>
      <c r="F4" s="56">
        <f>E4/100*F3</f>
        <v/>
      </c>
      <c r="G4" s="43" t="n"/>
      <c r="H4" s="43" t="n"/>
      <c r="I4" s="43" t="n"/>
    </row>
    <row r="5" ht="15.75" customHeight="1" s="6">
      <c r="A5" s="12" t="n"/>
      <c r="B5" s="35" t="n">
        <v>7703822568</v>
      </c>
      <c r="C5" s="31" t="n">
        <v>5507266215</v>
      </c>
      <c r="D5" s="34" t="n">
        <v>45700</v>
      </c>
      <c r="E5" s="37" t="n">
        <v>342500</v>
      </c>
      <c r="F5" s="56">
        <f>E5/100*F3</f>
        <v/>
      </c>
      <c r="G5" s="43" t="n"/>
      <c r="H5" s="43" t="n"/>
      <c r="I5" s="43" t="n"/>
    </row>
    <row r="6" ht="15.75" customHeight="1" s="6">
      <c r="A6" s="12" t="n"/>
      <c r="B6" s="35" t="n">
        <v>7713151911</v>
      </c>
      <c r="C6" s="31" t="n">
        <v>5507266215</v>
      </c>
      <c r="D6" s="34" t="n">
        <v>45712</v>
      </c>
      <c r="E6" s="37" t="n">
        <v>311207</v>
      </c>
      <c r="F6" s="56">
        <f>E6/100*F3</f>
        <v/>
      </c>
      <c r="G6" s="43" t="n"/>
      <c r="H6" s="43" t="n"/>
      <c r="I6" s="43" t="n"/>
    </row>
    <row r="7" ht="15.75" customHeight="1" s="6">
      <c r="A7" s="12" t="n"/>
      <c r="B7" s="35" t="n">
        <v>7713151911</v>
      </c>
      <c r="C7" s="31" t="n">
        <v>5507266215</v>
      </c>
      <c r="D7" s="34" t="n">
        <v>45726</v>
      </c>
      <c r="E7" s="37" t="n">
        <v>265300</v>
      </c>
      <c r="F7" s="56">
        <f>E7/100*F3</f>
        <v/>
      </c>
      <c r="G7" s="43" t="n"/>
      <c r="H7" s="43" t="n"/>
      <c r="I7" s="43" t="n"/>
    </row>
    <row r="8" ht="15.75" customHeight="1" s="6">
      <c r="A8" s="12" t="n"/>
      <c r="B8" s="35" t="n">
        <v>7720313708</v>
      </c>
      <c r="C8" s="31" t="n">
        <v>5507266215</v>
      </c>
      <c r="D8" s="34" t="n">
        <v>45735</v>
      </c>
      <c r="E8" s="37" t="n">
        <v>395671</v>
      </c>
      <c r="F8" s="56">
        <f>E8/100*F3</f>
        <v/>
      </c>
      <c r="G8" s="43" t="n"/>
      <c r="H8" s="43" t="n"/>
      <c r="I8" s="43" t="n"/>
    </row>
    <row r="9" ht="15.75" customHeight="1" s="6">
      <c r="A9" s="12" t="n"/>
      <c r="B9" s="35" t="n"/>
      <c r="C9" s="31" t="n"/>
      <c r="D9" s="34" t="n"/>
      <c r="E9" s="37" t="n"/>
      <c r="F9" s="56" t="n"/>
      <c r="G9" s="43" t="n"/>
      <c r="H9" s="43" t="n"/>
      <c r="I9" s="43" t="n"/>
    </row>
    <row r="10" ht="15.75" customHeight="1" s="6">
      <c r="A10" s="12" t="n"/>
      <c r="B10" s="35" t="n"/>
      <c r="C10" s="31" t="n"/>
      <c r="D10" s="34" t="n"/>
      <c r="E10" s="37" t="n"/>
      <c r="F10" s="56" t="n"/>
      <c r="G10" s="43" t="n"/>
      <c r="H10" s="43" t="n"/>
      <c r="I10" s="43" t="n"/>
    </row>
    <row r="11" ht="15.75" customHeight="1" s="6">
      <c r="A11" s="12" t="n"/>
      <c r="B11" s="35" t="n"/>
      <c r="C11" s="31" t="n"/>
      <c r="D11" s="34" t="n"/>
      <c r="E11" s="37" t="n"/>
      <c r="F11" s="56" t="n"/>
      <c r="G11" s="43" t="n"/>
      <c r="H11" s="43" t="n"/>
      <c r="I11" s="43" t="n"/>
    </row>
    <row r="12" ht="15.75" customHeight="1" s="6">
      <c r="A12" s="12" t="n"/>
      <c r="B12" s="35" t="n"/>
      <c r="C12" s="31" t="n"/>
      <c r="D12" s="34" t="n"/>
      <c r="E12" s="37" t="n"/>
      <c r="F12" s="56" t="n"/>
      <c r="G12" s="43" t="n"/>
      <c r="H12" s="43" t="n"/>
      <c r="I12" s="43" t="n"/>
    </row>
    <row r="13" ht="15.75" customHeight="1" s="6">
      <c r="A13" s="12" t="n"/>
      <c r="B13" s="33" t="n"/>
      <c r="C13" s="31" t="n"/>
      <c r="D13" s="32" t="n"/>
      <c r="E13" s="37">
        <f>SUM(E4:E12)</f>
        <v/>
      </c>
      <c r="F13" s="57">
        <f>SUM(F4:F12)</f>
        <v/>
      </c>
      <c r="G13" s="58">
        <f>F13*1.19</f>
        <v/>
      </c>
      <c r="H13" s="56">
        <f>E13/100*H3</f>
        <v/>
      </c>
      <c r="I13" s="57">
        <f>E13*I3/100</f>
        <v/>
      </c>
    </row>
    <row r="14" ht="15.75" customHeight="1" s="6">
      <c r="A14" s="12" t="n"/>
      <c r="B14" s="33" t="n"/>
      <c r="C14" s="31" t="n"/>
      <c r="D14" s="32" t="n"/>
      <c r="E14" s="37" t="n"/>
      <c r="F14" s="43" t="inlineStr">
        <is>
          <t>бн</t>
        </is>
      </c>
      <c r="G14" s="43" t="inlineStr">
        <is>
          <t>нал</t>
        </is>
      </c>
      <c r="H14" s="43" t="n"/>
      <c r="I14" s="56">
        <f>I13-G13</f>
        <v/>
      </c>
    </row>
    <row r="15" ht="15.75" customHeight="1" s="6"/>
    <row r="16" ht="15.75" customHeight="1" s="6"/>
    <row r="17" ht="15.75" customHeight="1" s="6"/>
    <row r="18" ht="15.75" customHeight="1" s="6"/>
    <row r="19" ht="15.75" customHeight="1" s="6"/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 thickBot="1"/>
    <row r="30" ht="15.75" customHeight="1" s="6" thickTop="1"/>
    <row r="31" ht="15.75" customHeight="1" s="6"/>
    <row r="32" ht="45" customHeight="1" s="6"/>
    <row r="33" ht="15.75" customHeight="1" s="6"/>
    <row r="34" ht="15.75" customHeight="1" s="6"/>
    <row r="35" ht="15.75" customHeight="1" s="6" thickBot="1"/>
    <row r="36" ht="15.75" customHeight="1" s="6" thickTop="1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</sheetData>
  <mergeCells count="3">
    <mergeCell ref="B24:D24"/>
    <mergeCell ref="B35:D35"/>
    <mergeCell ref="B30:E30"/>
  </mergeCells>
  <dataValidations count="5">
    <dataValidation sqref="D2 D31" showDropDown="0" showInputMessage="0" showErrorMessage="1" allowBlank="1" type="list">
      <formula1>"10,20"</formula1>
    </dataValidation>
    <dataValidation sqref="B13:B17 B20:B23 B27:B30 B36:B255" showDropDown="1" showInputMessage="1" showErrorMessage="1" allowBlank="1" prompt="Введите корректный ИНН" type="custom">
      <formula1>is_valid_inn(B11)</formula1>
    </dataValidation>
    <dataValidation sqref="B25:B26 B33:B34 C33" showDropDown="1" showInputMessage="1" showErrorMessage="1" allowBlank="1" prompt="Введите корректный ИНН" type="custom">
      <formula1>is_valid_inn(#REF!)</formula1>
    </dataValidation>
    <dataValidation sqref="B18:B19" showDropDown="1" showInputMessage="1" showErrorMessage="1" allowBlank="1" prompt="Введите корректный ИНН" type="custom">
      <formula1>is_valid_inn(B4)</formula1>
    </dataValidation>
    <dataValidation sqref="D4:D23 D33:D34" showDropDown="1" showInputMessage="1" showErrorMessage="1" allowBlank="1" prompt="Enter a valid date"/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2019-07-20T17:38:19Z</dcterms:created>
  <dcterms:modified xsi:type="dcterms:W3CDTF">2026-07-01T15:37:30Z</dcterms:modified>
  <cp:lastModifiedBy>ASUS</cp:lastModifiedBy>
</cp:coreProperties>
</file>